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roject_Status" sheetId="1" r:id="rId5"/>
    <sheet state="visible" name="2_Year_Trend" sheetId="2" r:id="rId6"/>
    <sheet state="visible" name="3_Locality_Analysis" sheetId="3" r:id="rId7"/>
    <sheet state="visible" name="4_Transaction_Types" sheetId="4" r:id="rId8"/>
    <sheet state="visible" name="5_Market_Value_Segments" sheetId="5" r:id="rId9"/>
    <sheet state="visible" name="6_Floor_Distribution" sheetId="6" r:id="rId10"/>
    <sheet state="visible" name="0_Summary_Stats" sheetId="7" r:id="rId11"/>
  </sheets>
  <definedNames/>
  <calcPr/>
</workbook>
</file>

<file path=xl/sharedStrings.xml><?xml version="1.0" encoding="utf-8"?>
<sst xmlns="http://schemas.openxmlformats.org/spreadsheetml/2006/main" count="78" uniqueCount="69">
  <si>
    <t>Status</t>
  </si>
  <si>
    <t>Total_Projects</t>
  </si>
  <si>
    <t>Percentage_of_Total</t>
  </si>
  <si>
    <t>Active</t>
  </si>
  <si>
    <t>Completed</t>
  </si>
  <si>
    <t>De-Registered</t>
  </si>
  <si>
    <t>Lapsed</t>
  </si>
  <si>
    <t>Year</t>
  </si>
  <si>
    <t>Locality</t>
  </si>
  <si>
    <t>Kothrud</t>
  </si>
  <si>
    <t>Punawale</t>
  </si>
  <si>
    <t>Kharadi</t>
  </si>
  <si>
    <t>Erandwane</t>
  </si>
  <si>
    <t>Chinchwad</t>
  </si>
  <si>
    <t>Pune</t>
  </si>
  <si>
    <t>Tathawade</t>
  </si>
  <si>
    <t>Sadashiv Peth</t>
  </si>
  <si>
    <t>Tathwade</t>
  </si>
  <si>
    <t>Aundh</t>
  </si>
  <si>
    <t>Transaction_Type</t>
  </si>
  <si>
    <t>Count</t>
  </si>
  <si>
    <t>Avg_Deal_Value_Rs</t>
  </si>
  <si>
    <t>Max_Deal_Value_Rs</t>
  </si>
  <si>
    <t>Total_Stamp_Duty_Rs</t>
  </si>
  <si>
    <t>Other</t>
  </si>
  <si>
    <t>Agreement to Sell</t>
  </si>
  <si>
    <t>Leave &amp; License</t>
  </si>
  <si>
    <t>Assignment Deed</t>
  </si>
  <si>
    <t>Mortgage</t>
  </si>
  <si>
    <t>Transfer Deed</t>
  </si>
  <si>
    <t>Gift Deed</t>
  </si>
  <si>
    <t>Sale Deed</t>
  </si>
  <si>
    <t>Conveyance Deed</t>
  </si>
  <si>
    <t>Value_Segment</t>
  </si>
  <si>
    <t>Number_of_Transactions</t>
  </si>
  <si>
    <t>Below ₹25L</t>
  </si>
  <si>
    <t>₹25L–50L</t>
  </si>
  <si>
    <t>₹50L–1Cr</t>
  </si>
  <si>
    <t>₹1Cr–2.5Cr</t>
  </si>
  <si>
    <t>Above ₹2.5Cr</t>
  </si>
  <si>
    <t>Floor_Range</t>
  </si>
  <si>
    <t>Buildings</t>
  </si>
  <si>
    <t>Avg_Units</t>
  </si>
  <si>
    <t>1-5</t>
  </si>
  <si>
    <t>6-10</t>
  </si>
  <si>
    <t>11-15</t>
  </si>
  <si>
    <t>16-20</t>
  </si>
  <si>
    <t>20+</t>
  </si>
  <si>
    <t>Metric</t>
  </si>
  <si>
    <t>Value</t>
  </si>
  <si>
    <t>Total RERA Projects (Pune)</t>
  </si>
  <si>
    <t>Active Projects</t>
  </si>
  <si>
    <t>Completed Projects</t>
  </si>
  <si>
    <t>Lapsed Projects</t>
  </si>
  <si>
    <t>De-Registered Projects</t>
  </si>
  <si>
    <t>Total Property Transactions</t>
  </si>
  <si>
    <t>Avg Market Value (₹)</t>
  </si>
  <si>
    <t>Median Market Value (₹)</t>
  </si>
  <si>
    <t>Highest Single Deal (₹)</t>
  </si>
  <si>
    <t>Total Stamp Duty Collected (₹)</t>
  </si>
  <si>
    <t>Top Locality</t>
  </si>
  <si>
    <t>Kothrud (166 projects)</t>
  </si>
  <si>
    <t>Peak Registration Year</t>
  </si>
  <si>
    <t>2017 (412 registrations — RERA launch year)</t>
  </si>
  <si>
    <t>Most Common Transaction Type</t>
  </si>
  <si>
    <t>Data Source</t>
  </si>
  <si>
    <t>Maharashtra RERA — MahaRERA Open Data</t>
  </si>
  <si>
    <t>Data Date</t>
  </si>
  <si>
    <t>April 9,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</si>
</sst>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/>
    </xf>
    <xf borderId="1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4" pivot="0" name="1_Project_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_Year_Tr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Locality_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_Transaction_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_Market_Value_Seg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_Floor_Distribu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Pune RERA Projects by Status (2017–2026)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'1_Project_Status'!$B$1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'1_Project_Status'!$A$2:$A$5</c:f>
            </c:strRef>
          </c:cat>
          <c:val>
            <c:numRef>
              <c:f>'1_Project_Status'!$B$2:$B$5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RERA Project Registrations by Year — Pune (2017–2026)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'2_Year_Trend'!$C$1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'2_Year_Trend'!$A$2:$A$11</c:f>
            </c:strRef>
          </c:cat>
          <c:val>
            <c:numRef>
              <c:f>'2_Year_Trend'!$C$2:$C$11</c:f>
              <c:numCache/>
            </c:numRef>
          </c:val>
        </c:ser>
        <c:ser>
          <c:idx val="1"/>
          <c:order val="1"/>
          <c:tx>
            <c:strRef>
              <c:f>'2_Year_Trend'!$D$1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'2_Year_Trend'!$A$2:$A$11</c:f>
            </c:strRef>
          </c:cat>
          <c:val>
            <c:numRef>
              <c:f>'2_Year_Trend'!$D$2:$D$11</c:f>
              <c:numCache/>
            </c:numRef>
          </c:val>
        </c:ser>
        <c:ser>
          <c:idx val="2"/>
          <c:order val="2"/>
          <c:tx>
            <c:strRef>
              <c:f>'2_Year_Trend'!$E$1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'2_Year_Trend'!$A$2:$A$11</c:f>
            </c:strRef>
          </c:cat>
          <c:val>
            <c:numRef>
              <c:f>'2_Year_Trend'!$E$2:$E$11</c:f>
              <c:numCache/>
            </c:numRef>
          </c:val>
        </c:ser>
        <c:overlap val="100"/>
        <c:axId val="2132211503"/>
        <c:axId val="2100460227"/>
      </c:barChart>
      <c:catAx>
        <c:axId val="213221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460227"/>
      </c:catAx>
      <c:valAx>
        <c:axId val="2100460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211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Pune Localities — Active vs Completed vs Lapsed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'3_Locality_Analysis'!$C$1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'3_Locality_Analysis'!$A$2:$A$11</c:f>
            </c:strRef>
          </c:cat>
          <c:val>
            <c:numRef>
              <c:f>'3_Locality_Analysis'!$C$2:$C$11</c:f>
              <c:numCache/>
            </c:numRef>
          </c:val>
        </c:ser>
        <c:ser>
          <c:idx val="1"/>
          <c:order val="1"/>
          <c:tx>
            <c:strRef>
              <c:f>'3_Locality_Analysis'!$D$1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'3_Locality_Analysis'!$A$2:$A$11</c:f>
            </c:strRef>
          </c:cat>
          <c:val>
            <c:numRef>
              <c:f>'3_Locality_Analysis'!$D$2:$D$11</c:f>
              <c:numCache/>
            </c:numRef>
          </c:val>
        </c:ser>
        <c:ser>
          <c:idx val="2"/>
          <c:order val="2"/>
          <c:tx>
            <c:strRef>
              <c:f>'3_Locality_Analysis'!$E$1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'3_Locality_Analysis'!$A$2:$A$11</c:f>
            </c:strRef>
          </c:cat>
          <c:val>
            <c:numRef>
              <c:f>'3_Locality_Analysis'!$E$2:$E$11</c:f>
              <c:numCache/>
            </c:numRef>
          </c:val>
        </c:ser>
        <c:axId val="1811330011"/>
        <c:axId val="1405433631"/>
      </c:barChart>
      <c:catAx>
        <c:axId val="18113300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433631"/>
      </c:catAx>
      <c:valAx>
        <c:axId val="14054336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3300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Property Transaction Types — Erandwane, Pune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'4_Transaction_Types'!$B$1</c:f>
            </c:strRef>
          </c:tx>
          <c:spPr>
            <a:solidFill>
              <a:srgbClr val="4A86E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'4_Transaction_Types'!$A$2:$A$10</c:f>
            </c:strRef>
          </c:cat>
          <c:val>
            <c:numRef>
              <c:f>'4_Transaction_Types'!$B$2:$B$10</c:f>
              <c:numCache/>
            </c:numRef>
          </c:val>
        </c:ser>
        <c:axId val="1141265040"/>
        <c:axId val="266354214"/>
      </c:barChart>
      <c:catAx>
        <c:axId val="1141265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Transaction_Type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354214"/>
      </c:catAx>
      <c:valAx>
        <c:axId val="266354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2650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Property Price Segment Distribution — Pune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'5_Market_Value_Segments'!$B$1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'5_Market_Value_Segments'!$A$2:$A$6</c:f>
            </c:strRef>
          </c:cat>
          <c:val>
            <c:numRef>
              <c:f>'5_Market_Value_Segments'!$B$2:$B$6</c:f>
              <c:numCache/>
            </c:numRef>
          </c:val>
        </c:ser>
        <c:axId val="121839980"/>
        <c:axId val="599578321"/>
      </c:barChart>
      <c:catAx>
        <c:axId val="121839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578321"/>
      </c:catAx>
      <c:valAx>
        <c:axId val="59957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Number_of_Transactions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39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Pune RERA Buildings by Number of Floors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'6_Floor_Distribution'!$B$1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'6_Floor_Distribution'!$A$2:$A$6</c:f>
            </c:strRef>
          </c:cat>
          <c:val>
            <c:numRef>
              <c:f>'6_Floor_Distribution'!$B$2:$B$6</c:f>
              <c:numCache/>
            </c:numRef>
          </c:val>
        </c:ser>
        <c:axId val="90545276"/>
        <c:axId val="559791152"/>
      </c:barChart>
      <c:catAx>
        <c:axId val="90545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Floor_Range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791152"/>
      </c:catAx>
      <c:valAx>
        <c:axId val="559791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45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6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11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11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Table1" name="Table1" id="1">
  <tableColumns count="3">
    <tableColumn name="Status" id="1"/>
    <tableColumn name="Total_Projects" id="2"/>
    <tableColumn name="Percentage_of_Total" id="3"/>
  </tableColumns>
  <tableStyleInfo name="1_Project_Status-style" showColumnStripes="0" showFirstColumn="1" showLastColumn="1" showRowStripes="1"/>
</table>
</file>

<file path=xl/tables/table2.xml><?xml version="1.0" encoding="utf-8"?>
<table xmlns="http://schemas.openxmlformats.org/spreadsheetml/2006/main" ref="A1:E11" displayName="Table2" name="Table2" id="2">
  <tableColumns count="5">
    <tableColumn name="Year" id="1"/>
    <tableColumn name="Total_Projects" id="2"/>
    <tableColumn name="Active" id="3"/>
    <tableColumn name="Completed" id="4"/>
    <tableColumn name="Lapsed" id="5"/>
  </tableColumns>
  <tableStyleInfo name="2_Year_Trend-style" showColumnStripes="0" showFirstColumn="1" showLastColumn="1" showRowStripes="1"/>
</table>
</file>

<file path=xl/tables/table3.xml><?xml version="1.0" encoding="utf-8"?>
<table xmlns="http://schemas.openxmlformats.org/spreadsheetml/2006/main" ref="A1:E11" displayName="Table3" name="Table3" id="3">
  <tableColumns count="5">
    <tableColumn name="Locality" id="1"/>
    <tableColumn name="Total_Projects" id="2"/>
    <tableColumn name="Active" id="3"/>
    <tableColumn name="Completed" id="4"/>
    <tableColumn name="Lapsed" id="5"/>
  </tableColumns>
  <tableStyleInfo name="3_Locality_Analysis-style" showColumnStripes="0" showFirstColumn="1" showLastColumn="1" showRowStripes="1"/>
</table>
</file>

<file path=xl/tables/table4.xml><?xml version="1.0" encoding="utf-8"?>
<table xmlns="http://schemas.openxmlformats.org/spreadsheetml/2006/main" ref="A1:E10" displayName="Table4" name="Table4" id="4">
  <tableColumns count="5">
    <tableColumn name="Transaction_Type" id="1"/>
    <tableColumn name="Count" id="2"/>
    <tableColumn name="Avg_Deal_Value_Rs" id="3"/>
    <tableColumn name="Max_Deal_Value_Rs" id="4"/>
    <tableColumn name="Total_Stamp_Duty_Rs" id="5"/>
  </tableColumns>
  <tableStyleInfo name="4_Transaction_Types-style" showColumnStripes="0" showFirstColumn="1" showLastColumn="1" showRowStripes="1"/>
</table>
</file>

<file path=xl/tables/table5.xml><?xml version="1.0" encoding="utf-8"?>
<table xmlns="http://schemas.openxmlformats.org/spreadsheetml/2006/main" ref="A1:B6" displayName="Table5" name="Table5" id="5">
  <tableColumns count="2">
    <tableColumn name="Value_Segment" id="1"/>
    <tableColumn name="Number_of_Transactions" id="2"/>
  </tableColumns>
  <tableStyleInfo name="5_Market_Value_Segments-style" showColumnStripes="0" showFirstColumn="1" showLastColumn="1" showRowStripes="1"/>
</table>
</file>

<file path=xl/tables/table6.xml><?xml version="1.0" encoding="utf-8"?>
<table xmlns="http://schemas.openxmlformats.org/spreadsheetml/2006/main" ref="A1:C6" displayName="Table6" name="Table6" id="6">
  <tableColumns count="3">
    <tableColumn name="Floor_Range" id="1"/>
    <tableColumn name="Buildings" id="2"/>
    <tableColumn name="Avg_Units" id="3"/>
  </tableColumns>
  <tableStyleInfo name="6_Floor_Distribu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9.57"/>
    <col customWidth="1" min="3" max="3" width="25.43"/>
    <col customWidth="1" min="4" max="5" width="15.14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800.0</v>
      </c>
      <c r="C2" s="2">
        <v>41.4</v>
      </c>
    </row>
    <row r="3" ht="22.5" customHeight="1">
      <c r="A3" s="2" t="s">
        <v>4</v>
      </c>
      <c r="B3" s="2">
        <v>721.0</v>
      </c>
      <c r="C3" s="2">
        <v>37.3</v>
      </c>
    </row>
    <row r="4" ht="22.5" customHeight="1">
      <c r="A4" s="2" t="s">
        <v>5</v>
      </c>
      <c r="B4" s="2">
        <v>9.0</v>
      </c>
      <c r="C4" s="2">
        <v>0.5</v>
      </c>
    </row>
    <row r="5" ht="22.5" customHeight="1">
      <c r="A5" s="2" t="s">
        <v>6</v>
      </c>
      <c r="B5" s="2">
        <v>401.0</v>
      </c>
      <c r="C5" s="2">
        <v>20.8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9.57"/>
    <col customWidth="1" min="3" max="3" width="12.0"/>
    <col customWidth="1" min="4" max="4" width="16.43"/>
    <col customWidth="1" min="5" max="5" width="13.14"/>
    <col customWidth="1" min="6" max="26" width="8.71"/>
  </cols>
  <sheetData>
    <row r="1" ht="22.5" customHeight="1">
      <c r="A1" s="1" t="s">
        <v>7</v>
      </c>
      <c r="B1" s="1" t="s">
        <v>1</v>
      </c>
      <c r="C1" s="1" t="s">
        <v>3</v>
      </c>
      <c r="D1" s="1" t="s">
        <v>4</v>
      </c>
      <c r="E1" s="1" t="s">
        <v>6</v>
      </c>
    </row>
    <row r="2" ht="22.5" customHeight="1">
      <c r="A2" s="2">
        <v>2017.0</v>
      </c>
      <c r="B2" s="2">
        <v>412.0</v>
      </c>
      <c r="C2" s="2">
        <v>26.0</v>
      </c>
      <c r="D2" s="2">
        <v>315.0</v>
      </c>
      <c r="E2" s="2">
        <v>71.0</v>
      </c>
    </row>
    <row r="3" ht="22.5" customHeight="1">
      <c r="A3" s="2">
        <v>2018.0</v>
      </c>
      <c r="B3" s="2">
        <v>122.0</v>
      </c>
      <c r="C3" s="2">
        <v>6.0</v>
      </c>
      <c r="D3" s="2">
        <v>96.0</v>
      </c>
      <c r="E3" s="2">
        <v>20.0</v>
      </c>
    </row>
    <row r="4" ht="22.5" customHeight="1">
      <c r="A4" s="2">
        <v>2019.0</v>
      </c>
      <c r="B4" s="2">
        <v>161.0</v>
      </c>
      <c r="C4" s="2">
        <v>14.0</v>
      </c>
      <c r="D4" s="2">
        <v>95.0</v>
      </c>
      <c r="E4" s="2">
        <v>51.0</v>
      </c>
    </row>
    <row r="5" ht="22.5" customHeight="1">
      <c r="A5" s="2">
        <v>2020.0</v>
      </c>
      <c r="B5" s="2">
        <v>137.0</v>
      </c>
      <c r="C5" s="2">
        <v>20.0</v>
      </c>
      <c r="D5" s="2">
        <v>71.0</v>
      </c>
      <c r="E5" s="2">
        <v>40.0</v>
      </c>
    </row>
    <row r="6" ht="22.5" customHeight="1">
      <c r="A6" s="2">
        <v>2021.0</v>
      </c>
      <c r="B6" s="2">
        <v>172.0</v>
      </c>
      <c r="C6" s="2">
        <v>30.0</v>
      </c>
      <c r="D6" s="2">
        <v>71.0</v>
      </c>
      <c r="E6" s="2">
        <v>70.0</v>
      </c>
    </row>
    <row r="7" ht="22.5" customHeight="1">
      <c r="A7" s="2">
        <v>2022.0</v>
      </c>
      <c r="B7" s="2">
        <v>194.0</v>
      </c>
      <c r="C7" s="2">
        <v>72.0</v>
      </c>
      <c r="D7" s="2">
        <v>41.0</v>
      </c>
      <c r="E7" s="2">
        <v>80.0</v>
      </c>
    </row>
    <row r="8" ht="22.5" customHeight="1">
      <c r="A8" s="2">
        <v>2023.0</v>
      </c>
      <c r="B8" s="2">
        <v>241.0</v>
      </c>
      <c r="C8" s="2">
        <v>152.0</v>
      </c>
      <c r="D8" s="2">
        <v>31.0</v>
      </c>
      <c r="E8" s="2">
        <v>57.0</v>
      </c>
    </row>
    <row r="9" ht="22.5" customHeight="1">
      <c r="A9" s="2">
        <v>2024.0</v>
      </c>
      <c r="B9" s="2">
        <v>204.0</v>
      </c>
      <c r="C9" s="2">
        <v>193.0</v>
      </c>
      <c r="D9" s="2">
        <v>0.0</v>
      </c>
      <c r="E9" s="2">
        <v>11.0</v>
      </c>
    </row>
    <row r="10" ht="22.5" customHeight="1">
      <c r="A10" s="2">
        <v>2025.0</v>
      </c>
      <c r="B10" s="2">
        <v>247.0</v>
      </c>
      <c r="C10" s="2">
        <v>245.0</v>
      </c>
      <c r="D10" s="2">
        <v>1.0</v>
      </c>
      <c r="E10" s="2">
        <v>1.0</v>
      </c>
    </row>
    <row r="11" ht="22.5" customHeight="1">
      <c r="A11" s="2">
        <v>2026.0</v>
      </c>
      <c r="B11" s="2">
        <v>42.0</v>
      </c>
      <c r="C11" s="2">
        <v>42.0</v>
      </c>
      <c r="D11" s="2">
        <v>0.0</v>
      </c>
      <c r="E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9.57"/>
    <col customWidth="1" min="3" max="3" width="12.0"/>
    <col customWidth="1" min="4" max="4" width="16.43"/>
    <col customWidth="1" min="5" max="5" width="13.14"/>
    <col customWidth="1" min="6" max="26" width="8.71"/>
  </cols>
  <sheetData>
    <row r="1" ht="22.5" customHeight="1">
      <c r="A1" s="1" t="s">
        <v>8</v>
      </c>
      <c r="B1" s="1" t="s">
        <v>1</v>
      </c>
      <c r="C1" s="1" t="s">
        <v>3</v>
      </c>
      <c r="D1" s="1" t="s">
        <v>4</v>
      </c>
      <c r="E1" s="1" t="s">
        <v>6</v>
      </c>
    </row>
    <row r="2" ht="22.5" customHeight="1">
      <c r="A2" s="2" t="s">
        <v>9</v>
      </c>
      <c r="B2" s="2">
        <v>166.0</v>
      </c>
      <c r="C2" s="2">
        <v>82.0</v>
      </c>
      <c r="D2" s="2">
        <v>45.0</v>
      </c>
      <c r="E2" s="2">
        <v>39.0</v>
      </c>
    </row>
    <row r="3" ht="22.5" customHeight="1">
      <c r="A3" s="2" t="s">
        <v>10</v>
      </c>
      <c r="B3" s="2">
        <v>116.0</v>
      </c>
      <c r="C3" s="2">
        <v>56.0</v>
      </c>
      <c r="D3" s="2">
        <v>41.0</v>
      </c>
      <c r="E3" s="2">
        <v>19.0</v>
      </c>
    </row>
    <row r="4" ht="22.5" customHeight="1">
      <c r="A4" s="2" t="s">
        <v>11</v>
      </c>
      <c r="B4" s="2">
        <v>100.0</v>
      </c>
      <c r="C4" s="2">
        <v>43.0</v>
      </c>
      <c r="D4" s="2">
        <v>35.0</v>
      </c>
      <c r="E4" s="2">
        <v>22.0</v>
      </c>
    </row>
    <row r="5" ht="22.5" customHeight="1">
      <c r="A5" s="2" t="s">
        <v>12</v>
      </c>
      <c r="B5" s="2">
        <v>80.0</v>
      </c>
      <c r="C5" s="2">
        <v>47.0</v>
      </c>
      <c r="D5" s="2">
        <v>21.0</v>
      </c>
      <c r="E5" s="2">
        <v>12.0</v>
      </c>
    </row>
    <row r="6" ht="22.5" customHeight="1">
      <c r="A6" s="2" t="s">
        <v>13</v>
      </c>
      <c r="B6" s="2">
        <v>62.0</v>
      </c>
      <c r="C6" s="2">
        <v>28.0</v>
      </c>
      <c r="D6" s="2">
        <v>17.0</v>
      </c>
      <c r="E6" s="2">
        <v>17.0</v>
      </c>
    </row>
    <row r="7" ht="22.5" customHeight="1">
      <c r="A7" s="2" t="s">
        <v>14</v>
      </c>
      <c r="B7" s="2">
        <v>60.0</v>
      </c>
      <c r="C7" s="2">
        <v>27.0</v>
      </c>
      <c r="D7" s="2">
        <v>20.0</v>
      </c>
      <c r="E7" s="2">
        <v>12.0</v>
      </c>
    </row>
    <row r="8" ht="22.5" customHeight="1">
      <c r="A8" s="2" t="s">
        <v>15</v>
      </c>
      <c r="B8" s="2">
        <v>55.0</v>
      </c>
      <c r="C8" s="2">
        <v>23.0</v>
      </c>
      <c r="D8" s="2">
        <v>18.0</v>
      </c>
      <c r="E8" s="2">
        <v>14.0</v>
      </c>
    </row>
    <row r="9" ht="22.5" customHeight="1">
      <c r="A9" s="2" t="s">
        <v>16</v>
      </c>
      <c r="B9" s="2">
        <v>43.0</v>
      </c>
      <c r="C9" s="2">
        <v>17.0</v>
      </c>
      <c r="D9" s="2">
        <v>12.0</v>
      </c>
      <c r="E9" s="2">
        <v>13.0</v>
      </c>
    </row>
    <row r="10" ht="22.5" customHeight="1">
      <c r="A10" s="2" t="s">
        <v>17</v>
      </c>
      <c r="B10" s="2">
        <v>43.0</v>
      </c>
      <c r="C10" s="2">
        <v>27.0</v>
      </c>
      <c r="D10" s="2">
        <v>11.0</v>
      </c>
      <c r="E10" s="2">
        <v>4.0</v>
      </c>
    </row>
    <row r="11" ht="22.5" customHeight="1">
      <c r="A11" s="2" t="s">
        <v>18</v>
      </c>
      <c r="B11" s="2">
        <v>33.0</v>
      </c>
      <c r="C11" s="2">
        <v>14.0</v>
      </c>
      <c r="D11" s="2">
        <v>12.0</v>
      </c>
      <c r="E11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1.86"/>
    <col customWidth="1" min="3" max="3" width="24.29"/>
    <col customWidth="1" min="4" max="4" width="24.86"/>
    <col customWidth="1" min="5" max="5" width="26.43"/>
    <col customWidth="1" min="6" max="26" width="8.71"/>
  </cols>
  <sheetData>
    <row r="1" ht="22.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ht="22.5" customHeight="1">
      <c r="A2" s="2" t="s">
        <v>24</v>
      </c>
      <c r="B2" s="2">
        <v>80.0</v>
      </c>
      <c r="C2" s="2">
        <v>7881510.0</v>
      </c>
      <c r="D2" s="2">
        <v>3.51E7</v>
      </c>
      <c r="E2" s="2">
        <v>1.880197E7</v>
      </c>
    </row>
    <row r="3" ht="22.5" customHeight="1">
      <c r="A3" s="2" t="s">
        <v>25</v>
      </c>
      <c r="B3" s="2">
        <v>61.0</v>
      </c>
      <c r="C3" s="2">
        <v>1.2294445E7</v>
      </c>
      <c r="D3" s="2">
        <v>3.25E7</v>
      </c>
      <c r="E3" s="2">
        <v>3.589895E7</v>
      </c>
    </row>
    <row r="4" ht="22.5" customHeight="1">
      <c r="A4" s="2" t="s">
        <v>26</v>
      </c>
      <c r="B4" s="2">
        <v>34.0</v>
      </c>
      <c r="C4" s="2">
        <v>50351.0</v>
      </c>
      <c r="D4" s="2">
        <v>391667.0</v>
      </c>
      <c r="E4" s="2">
        <v>198560.0</v>
      </c>
    </row>
    <row r="5" ht="22.5" customHeight="1">
      <c r="A5" s="2" t="s">
        <v>27</v>
      </c>
      <c r="B5" s="2">
        <v>33.0</v>
      </c>
      <c r="C5" s="2">
        <v>9043204.0</v>
      </c>
      <c r="D5" s="2">
        <v>2.1E7</v>
      </c>
      <c r="E5" s="2">
        <v>9665200.0</v>
      </c>
    </row>
    <row r="6" ht="22.5" customHeight="1">
      <c r="A6" s="2" t="s">
        <v>28</v>
      </c>
      <c r="B6" s="2">
        <v>15.0</v>
      </c>
      <c r="C6" s="2">
        <v>3.29648067E8</v>
      </c>
      <c r="D6" s="2">
        <v>1.25E9</v>
      </c>
      <c r="E6" s="2">
        <v>1.122512E7</v>
      </c>
    </row>
    <row r="7" ht="22.5" customHeight="1">
      <c r="A7" s="2" t="s">
        <v>29</v>
      </c>
      <c r="B7" s="2">
        <v>12.0</v>
      </c>
      <c r="C7" s="2">
        <v>6557247.0</v>
      </c>
      <c r="D7" s="2">
        <v>2.61E7</v>
      </c>
      <c r="E7" s="2">
        <v>2222400.0</v>
      </c>
    </row>
    <row r="8" ht="22.5" customHeight="1">
      <c r="A8" s="2" t="s">
        <v>30</v>
      </c>
      <c r="B8" s="2">
        <v>10.0</v>
      </c>
      <c r="C8" s="2">
        <v>0.0</v>
      </c>
      <c r="D8" s="2">
        <v>0.0</v>
      </c>
      <c r="E8" s="2">
        <v>1026400.0</v>
      </c>
    </row>
    <row r="9" ht="22.5" customHeight="1">
      <c r="A9" s="2" t="s">
        <v>31</v>
      </c>
      <c r="B9" s="2">
        <v>5.0</v>
      </c>
      <c r="C9" s="2">
        <v>7645000.0</v>
      </c>
      <c r="D9" s="2">
        <v>1.75E7</v>
      </c>
      <c r="E9" s="2">
        <v>1830500.0</v>
      </c>
    </row>
    <row r="10" ht="22.5" customHeight="1">
      <c r="A10" s="2" t="s">
        <v>32</v>
      </c>
      <c r="B10" s="2">
        <v>3.0</v>
      </c>
      <c r="C10" s="2">
        <v>3550000.0</v>
      </c>
      <c r="D10" s="2">
        <v>3550000.0</v>
      </c>
      <c r="E10" s="2">
        <v>213400.0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9.71"/>
    <col customWidth="1" min="3" max="26" width="8.71"/>
  </cols>
  <sheetData>
    <row r="1" ht="22.5" customHeight="1">
      <c r="A1" s="1" t="s">
        <v>33</v>
      </c>
      <c r="B1" s="1" t="s">
        <v>34</v>
      </c>
    </row>
    <row r="2" ht="22.5" customHeight="1">
      <c r="A2" s="2" t="s">
        <v>35</v>
      </c>
      <c r="B2" s="2">
        <v>81.0</v>
      </c>
    </row>
    <row r="3" ht="22.5" customHeight="1">
      <c r="A3" s="2" t="s">
        <v>36</v>
      </c>
      <c r="B3" s="2">
        <v>29.0</v>
      </c>
    </row>
    <row r="4" ht="22.5" customHeight="1">
      <c r="A4" s="2" t="s">
        <v>37</v>
      </c>
      <c r="B4" s="2">
        <v>44.0</v>
      </c>
    </row>
    <row r="5" ht="22.5" customHeight="1">
      <c r="A5" s="2" t="s">
        <v>38</v>
      </c>
      <c r="B5" s="2">
        <v>36.0</v>
      </c>
    </row>
    <row r="6" ht="22.5" customHeight="1">
      <c r="A6" s="2" t="s">
        <v>39</v>
      </c>
      <c r="B6" s="2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6">
    <cfRule type="colorScale" priority="1">
      <colorScale>
        <cfvo type="min"/>
        <cfvo type="max"/>
        <color rgb="FFFFFFFF"/>
        <color rgb="FFE67C73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14.86"/>
    <col customWidth="1" min="3" max="3" width="15.57"/>
    <col customWidth="1" min="4" max="26" width="8.71"/>
  </cols>
  <sheetData>
    <row r="1" ht="22.5" customHeight="1">
      <c r="A1" s="1" t="s">
        <v>40</v>
      </c>
      <c r="B1" s="1" t="s">
        <v>41</v>
      </c>
      <c r="C1" s="1" t="s">
        <v>42</v>
      </c>
    </row>
    <row r="2" ht="22.5" customHeight="1">
      <c r="A2" s="2" t="s">
        <v>43</v>
      </c>
      <c r="B2" s="2">
        <v>220.0</v>
      </c>
      <c r="C2" s="2">
        <v>15.9</v>
      </c>
    </row>
    <row r="3" ht="22.5" customHeight="1">
      <c r="A3" s="2" t="s">
        <v>44</v>
      </c>
      <c r="B3" s="2">
        <v>401.0</v>
      </c>
      <c r="C3" s="2">
        <v>30.7</v>
      </c>
    </row>
    <row r="4" ht="22.5" customHeight="1">
      <c r="A4" s="2" t="s">
        <v>45</v>
      </c>
      <c r="B4" s="2">
        <v>191.0</v>
      </c>
      <c r="C4" s="2">
        <v>64.1</v>
      </c>
    </row>
    <row r="5" ht="22.5" customHeight="1">
      <c r="A5" s="2" t="s">
        <v>46</v>
      </c>
      <c r="B5" s="2">
        <v>167.0</v>
      </c>
      <c r="C5" s="2">
        <v>87.8</v>
      </c>
    </row>
    <row r="6" ht="22.5" customHeight="1">
      <c r="A6" s="2" t="s">
        <v>47</v>
      </c>
      <c r="B6" s="2">
        <v>312.0</v>
      </c>
      <c r="C6" s="2">
        <v>136.7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43.0"/>
    <col customWidth="1" min="3" max="26" width="8.71"/>
  </cols>
  <sheetData>
    <row r="1">
      <c r="A1" s="3" t="s">
        <v>48</v>
      </c>
      <c r="B1" s="3" t="s">
        <v>49</v>
      </c>
    </row>
    <row r="2">
      <c r="A2" s="4" t="s">
        <v>50</v>
      </c>
      <c r="B2" s="4">
        <v>1932.0</v>
      </c>
    </row>
    <row r="3">
      <c r="A3" s="5" t="s">
        <v>51</v>
      </c>
      <c r="B3" s="5">
        <v>800.0</v>
      </c>
    </row>
    <row r="4">
      <c r="A4" s="5" t="s">
        <v>52</v>
      </c>
      <c r="B4" s="5">
        <v>721.0</v>
      </c>
    </row>
    <row r="5">
      <c r="A5" s="5" t="s">
        <v>53</v>
      </c>
      <c r="B5" s="5">
        <v>401.0</v>
      </c>
    </row>
    <row r="6">
      <c r="A6" s="5" t="s">
        <v>54</v>
      </c>
      <c r="B6" s="5">
        <v>9.0</v>
      </c>
    </row>
    <row r="7">
      <c r="A7" s="5" t="s">
        <v>55</v>
      </c>
      <c r="B7" s="5">
        <v>340.0</v>
      </c>
    </row>
    <row r="8">
      <c r="A8" s="5" t="s">
        <v>56</v>
      </c>
      <c r="B8" s="5">
        <v>6653992.0</v>
      </c>
    </row>
    <row r="9">
      <c r="A9" s="5" t="s">
        <v>57</v>
      </c>
      <c r="B9" s="5">
        <v>4126470.0</v>
      </c>
    </row>
    <row r="10">
      <c r="A10" s="5" t="s">
        <v>58</v>
      </c>
      <c r="B10" s="5">
        <v>1.25E9</v>
      </c>
    </row>
    <row r="11">
      <c r="A11" s="5" t="s">
        <v>59</v>
      </c>
      <c r="B11" s="5">
        <v>8.10825E7</v>
      </c>
    </row>
    <row r="12">
      <c r="A12" s="5" t="s">
        <v>60</v>
      </c>
      <c r="B12" s="5" t="s">
        <v>61</v>
      </c>
    </row>
    <row r="13">
      <c r="A13" s="5" t="s">
        <v>62</v>
      </c>
      <c r="B13" s="5" t="s">
        <v>63</v>
      </c>
    </row>
    <row r="14">
      <c r="A14" s="5" t="s">
        <v>64</v>
      </c>
      <c r="B14" s="5" t="s">
        <v>25</v>
      </c>
    </row>
    <row r="15">
      <c r="A15" s="5" t="s">
        <v>65</v>
      </c>
      <c r="B15" s="5" t="s">
        <v>66</v>
      </c>
    </row>
    <row r="16">
      <c r="A16" s="5" t="s">
        <v>67</v>
      </c>
      <c r="B16" s="5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3:B16">
    <cfRule type="notContainsBlanks" dxfId="5" priority="1">
      <formula>LEN(TRIM(A3))&gt;0</formula>
    </cfRule>
  </conditionalFormatting>
  <printOptions/>
  <pageMargins bottom="1.0" footer="0.0" header="0.0" left="0.75" right="0.75" top="1.0"/>
  <pageSetup orientation="landscape"/>
  <drawing r:id="rId1"/>
</worksheet>
</file>